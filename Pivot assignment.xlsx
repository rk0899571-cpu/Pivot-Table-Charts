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92BCED3A-AA26-43CA-960A-E40BBCA07D88}" xr6:coauthVersionLast="47" xr6:coauthVersionMax="47" xr10:uidLastSave="{00000000-0000-0000-0000-000000000000}"/>
  <bookViews>
    <workbookView xWindow="-110" yWindow="-110" windowWidth="19420" windowHeight="10300" firstSheet="2" activeTab="6" xr2:uid="{369D4883-2519-44B3-851E-A7FF7D9C7B87}"/>
  </bookViews>
  <sheets>
    <sheet name="Raw  Material" sheetId="1" r:id="rId1"/>
    <sheet name="Clean Data" sheetId="2" r:id="rId2"/>
    <sheet name="Pivot Table" sheetId="4" r:id="rId3"/>
    <sheet name="Conditional Formatting" sheetId="3" r:id="rId4"/>
    <sheet name="Pivot Chart" sheetId="8" r:id="rId5"/>
    <sheet name="Slicer" sheetId="6" r:id="rId6"/>
    <sheet name="DASHBOARD" sheetId="9" r:id="rId7"/>
  </sheets>
  <definedNames>
    <definedName name="Slicer_Product">#N/A</definedName>
  </definedNames>
  <calcPr calcId="191029"/>
  <pivotCaches>
    <pivotCache cacheId="0"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4" i="6" l="1"/>
  <c r="B23" i="6"/>
  <c r="B22" i="6"/>
  <c r="B21" i="6"/>
  <c r="B20" i="6"/>
  <c r="B19" i="6"/>
  <c r="B18" i="6"/>
  <c r="B17" i="6"/>
  <c r="B16" i="6"/>
  <c r="B15" i="6"/>
  <c r="B14" i="6"/>
  <c r="B13" i="6"/>
  <c r="B12" i="6"/>
  <c r="B11" i="6"/>
  <c r="B10" i="6"/>
  <c r="B9" i="6"/>
  <c r="B8" i="6"/>
  <c r="B7" i="6"/>
  <c r="B6" i="6"/>
  <c r="B5" i="6"/>
  <c r="B3" i="2"/>
  <c r="B4" i="2"/>
  <c r="B5" i="2"/>
  <c r="B6" i="2"/>
  <c r="B7" i="2"/>
  <c r="B8" i="2"/>
  <c r="B9" i="2"/>
  <c r="B10" i="2"/>
  <c r="B11" i="2"/>
  <c r="B12" i="2"/>
  <c r="B13" i="2"/>
  <c r="B14" i="2"/>
  <c r="B15" i="2"/>
  <c r="B16" i="2"/>
  <c r="B17" i="2"/>
  <c r="B18" i="2"/>
  <c r="B19" i="2"/>
  <c r="B20" i="2"/>
  <c r="B21" i="2"/>
  <c r="B2" i="2"/>
</calcChain>
</file>

<file path=xl/sharedStrings.xml><?xml version="1.0" encoding="utf-8"?>
<sst xmlns="http://schemas.openxmlformats.org/spreadsheetml/2006/main" count="204" uniqueCount="27">
  <si>
    <t>Date</t>
  </si>
  <si>
    <t>Region</t>
  </si>
  <si>
    <t>Product</t>
  </si>
  <si>
    <t>Sales</t>
  </si>
  <si>
    <t>Quantity</t>
  </si>
  <si>
    <t>West</t>
  </si>
  <si>
    <t>Mangoes</t>
  </si>
  <si>
    <t>South</t>
  </si>
  <si>
    <t>Oranges</t>
  </si>
  <si>
    <t>Apples</t>
  </si>
  <si>
    <t>East</t>
  </si>
  <si>
    <t>North</t>
  </si>
  <si>
    <t>Apply Conditional Formatting to highlight sales greater than 400</t>
  </si>
  <si>
    <t>Row Labels</t>
  </si>
  <si>
    <t>Grand Total</t>
  </si>
  <si>
    <t>Sum of Sales</t>
  </si>
  <si>
    <t>Sum of Quantity</t>
  </si>
  <si>
    <t>Apr</t>
  </si>
  <si>
    <t>Jun</t>
  </si>
  <si>
    <t>Jan</t>
  </si>
  <si>
    <t>Feb</t>
  </si>
  <si>
    <t>Mar</t>
  </si>
  <si>
    <t>May</t>
  </si>
  <si>
    <t>Months</t>
  </si>
  <si>
    <t>Create a PivotTable to show Total Sales by Region.</t>
  </si>
  <si>
    <t>Create a PivotChart showing Monthly Sales Trend.</t>
  </si>
  <si>
    <t>Use a Slicer to filter data by Product and observe changes in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</si>
</sst>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1"/>
      <color theme="1"/>
      <name val="Calibri"/>
      <family val="2"/>
      <scheme val="minor"/>
    </font>
    <font>
      <b/>
      <sz val="11"/>
      <color theme="1"/>
      <name val="Calibri"/>
      <family val="2"/>
      <scheme val="minor"/>
    </font>
    <font>
      <b/>
      <sz val="14"/>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5" tint="-0.249977111117893"/>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164" fontId="0" fillId="0" borderId="4" xfId="0" applyNumberFormat="1" applyBorder="1" applyAlignment="1">
      <alignment horizontal="center" wrapText="1"/>
    </xf>
    <xf numFmtId="0" fontId="0" fillId="0" borderId="4" xfId="0" applyBorder="1" applyAlignment="1">
      <alignment horizontal="center"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0" fillId="0" borderId="0" xfId="0" pivotButton="1"/>
    <xf numFmtId="0" fontId="0" fillId="0" borderId="0" xfId="0" applyAlignment="1">
      <alignment horizontal="left"/>
    </xf>
    <xf numFmtId="164" fontId="0" fillId="0" borderId="7" xfId="0" applyNumberFormat="1" applyBorder="1" applyAlignment="1">
      <alignment horizontal="center" wrapText="1"/>
    </xf>
    <xf numFmtId="0" fontId="0" fillId="0" borderId="7" xfId="0" applyBorder="1" applyAlignment="1">
      <alignment horizontal="center" wrapText="1"/>
    </xf>
    <xf numFmtId="164" fontId="0" fillId="0" borderId="8" xfId="0" applyNumberFormat="1" applyBorder="1" applyAlignment="1">
      <alignment horizontal="center" wrapText="1"/>
    </xf>
    <xf numFmtId="0" fontId="0" fillId="0" borderId="8" xfId="0" applyBorder="1" applyAlignment="1">
      <alignment horizontal="center" wrapText="1"/>
    </xf>
    <xf numFmtId="0" fontId="0" fillId="5" borderId="0" xfId="0" applyFill="1"/>
    <xf numFmtId="0" fontId="1" fillId="5" borderId="4" xfId="0" applyFont="1" applyFill="1" applyBorder="1" applyAlignment="1">
      <alignment horizontal="center" vertical="top" wrapText="1"/>
    </xf>
    <xf numFmtId="164" fontId="0" fillId="0" borderId="10" xfId="0" applyNumberFormat="1" applyBorder="1" applyAlignment="1">
      <alignment horizontal="center" wrapText="1"/>
    </xf>
    <xf numFmtId="164" fontId="0" fillId="0" borderId="9" xfId="0" applyNumberFormat="1"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center" wrapText="1"/>
    </xf>
    <xf numFmtId="0" fontId="1" fillId="5" borderId="10" xfId="0" applyFont="1" applyFill="1" applyBorder="1" applyAlignment="1">
      <alignment horizontal="center" vertical="top" wrapText="1"/>
    </xf>
    <xf numFmtId="0" fontId="1" fillId="5" borderId="8" xfId="0" applyFont="1" applyFill="1" applyBorder="1" applyAlignment="1">
      <alignment horizontal="center" vertical="top" wrapText="1"/>
    </xf>
    <xf numFmtId="0" fontId="1" fillId="5" borderId="12" xfId="0" applyFont="1" applyFill="1" applyBorder="1" applyAlignment="1">
      <alignment horizontal="center" vertical="top" wrapText="1"/>
    </xf>
    <xf numFmtId="164" fontId="0" fillId="0" borderId="13" xfId="0" applyNumberFormat="1" applyBorder="1" applyAlignment="1">
      <alignment horizontal="center" wrapText="1"/>
    </xf>
    <xf numFmtId="0" fontId="0" fillId="0" borderId="14" xfId="0" applyBorder="1" applyAlignment="1">
      <alignment horizontal="center" wrapText="1"/>
    </xf>
    <xf numFmtId="0" fontId="3" fillId="4" borderId="4" xfId="0" applyFont="1" applyFill="1" applyBorder="1" applyAlignment="1">
      <alignment horizontal="center" vertical="center"/>
    </xf>
    <xf numFmtId="0" fontId="3" fillId="3" borderId="4" xfId="0" applyFont="1" applyFill="1" applyBorder="1" applyAlignment="1">
      <alignment horizontal="center" vertical="center"/>
    </xf>
    <xf numFmtId="0" fontId="3" fillId="4" borderId="4" xfId="0" applyFont="1" applyFill="1" applyBorder="1" applyAlignment="1">
      <alignment horizontal="center"/>
    </xf>
    <xf numFmtId="0" fontId="0" fillId="4" borderId="4" xfId="0" applyFill="1" applyBorder="1" applyAlignment="1">
      <alignment horizontal="center"/>
    </xf>
    <xf numFmtId="0" fontId="2" fillId="6" borderId="4" xfId="0" applyFont="1" applyFill="1" applyBorder="1" applyAlignment="1">
      <alignment horizontal="center" vertical="center"/>
    </xf>
    <xf numFmtId="0" fontId="0" fillId="7" borderId="0" xfId="0" applyFill="1"/>
    <xf numFmtId="0" fontId="0" fillId="0" borderId="0" xfId="0" applyNumberFormat="1"/>
  </cellXfs>
  <cellStyles count="1">
    <cellStyle name="Normal" xfId="0" builtinId="0"/>
  </cellStyles>
  <dxfs count="10">
    <dxf>
      <alignment horizontal="center" vertical="bottom"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800]dddd\,\ mmmm\ dd\,\ 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800]dddd\,\ mmmm\ dd\,\ yyyy"/>
      <alignment horizontal="center" vertical="bottom"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alignment horizontal="center"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assignment.xlsx]Pivot Chart!PivotTable3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Chart'!$A$4:$A$10</c:f>
              <c:strCache>
                <c:ptCount val="6"/>
                <c:pt idx="0">
                  <c:v>Jan</c:v>
                </c:pt>
                <c:pt idx="1">
                  <c:v>Feb</c:v>
                </c:pt>
                <c:pt idx="2">
                  <c:v>Mar</c:v>
                </c:pt>
                <c:pt idx="3">
                  <c:v>Apr</c:v>
                </c:pt>
                <c:pt idx="4">
                  <c:v>May</c:v>
                </c:pt>
                <c:pt idx="5">
                  <c:v>Jun</c:v>
                </c:pt>
              </c:strCache>
            </c:strRef>
          </c:cat>
          <c:val>
            <c:numRef>
              <c:f>'Pivot Chart'!$B$4:$B$10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117D-4FCF-8460-D9ADC95ADE0F}"/>
            </c:ext>
          </c:extLst>
        </c:ser>
        <c:dLbls>
          <c:showLegendKey val="0"/>
          <c:showVal val="0"/>
          <c:showCatName val="0"/>
          <c:showSerName val="0"/>
          <c:showPercent val="0"/>
          <c:showBubbleSize val="0"/>
        </c:dLbls>
        <c:gapWidth val="150"/>
        <c:shape val="box"/>
        <c:axId val="54303744"/>
        <c:axId val="54304224"/>
        <c:axId val="0"/>
      </c:bar3DChart>
      <c:catAx>
        <c:axId val="5430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04224"/>
        <c:crosses val="autoZero"/>
        <c:auto val="1"/>
        <c:lblAlgn val="ctr"/>
        <c:lblOffset val="100"/>
        <c:noMultiLvlLbl val="0"/>
      </c:catAx>
      <c:valAx>
        <c:axId val="543042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assignment.xlsx]Pivot Chart!PivotTable3</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Chart'!$B$3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D050-44D5-AA4D-3B4F43B5EF03}"/>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D050-44D5-AA4D-3B4F43B5EF03}"/>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D050-44D5-AA4D-3B4F43B5EF03}"/>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D050-44D5-AA4D-3B4F43B5EF03}"/>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D050-44D5-AA4D-3B4F43B5EF03}"/>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D050-44D5-AA4D-3B4F43B5EF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Chart'!$A$4:$A$10</c:f>
              <c:strCache>
                <c:ptCount val="6"/>
                <c:pt idx="0">
                  <c:v>Jan</c:v>
                </c:pt>
                <c:pt idx="1">
                  <c:v>Feb</c:v>
                </c:pt>
                <c:pt idx="2">
                  <c:v>Mar</c:v>
                </c:pt>
                <c:pt idx="3">
                  <c:v>Apr</c:v>
                </c:pt>
                <c:pt idx="4">
                  <c:v>May</c:v>
                </c:pt>
                <c:pt idx="5">
                  <c:v>Jun</c:v>
                </c:pt>
              </c:strCache>
            </c:strRef>
          </c:cat>
          <c:val>
            <c:numRef>
              <c:f>'Pivot Chart'!$B$4:$B$10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5322-43D1-8205-3CF8B1D6D35A}"/>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assignment.xlsx]Pivot Chart!PivotTable3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Chart'!$A$4:$A$10</c:f>
              <c:strCache>
                <c:ptCount val="6"/>
                <c:pt idx="0">
                  <c:v>Jan</c:v>
                </c:pt>
                <c:pt idx="1">
                  <c:v>Feb</c:v>
                </c:pt>
                <c:pt idx="2">
                  <c:v>Mar</c:v>
                </c:pt>
                <c:pt idx="3">
                  <c:v>Apr</c:v>
                </c:pt>
                <c:pt idx="4">
                  <c:v>May</c:v>
                </c:pt>
                <c:pt idx="5">
                  <c:v>Jun</c:v>
                </c:pt>
              </c:strCache>
            </c:strRef>
          </c:cat>
          <c:val>
            <c:numRef>
              <c:f>'Pivot Chart'!$B$4:$B$10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9FEF-49A7-9A5C-E36AB7D0C51B}"/>
            </c:ext>
          </c:extLst>
        </c:ser>
        <c:dLbls>
          <c:showLegendKey val="0"/>
          <c:showVal val="0"/>
          <c:showCatName val="0"/>
          <c:showSerName val="0"/>
          <c:showPercent val="0"/>
          <c:showBubbleSize val="0"/>
        </c:dLbls>
        <c:gapWidth val="150"/>
        <c:shape val="box"/>
        <c:axId val="54303744"/>
        <c:axId val="54304224"/>
        <c:axId val="0"/>
      </c:bar3DChart>
      <c:catAx>
        <c:axId val="5430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04224"/>
        <c:crosses val="autoZero"/>
        <c:auto val="1"/>
        <c:lblAlgn val="ctr"/>
        <c:lblOffset val="100"/>
        <c:noMultiLvlLbl val="0"/>
      </c:catAx>
      <c:valAx>
        <c:axId val="543042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0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a:t>
            </a:r>
            <a:r>
              <a:rPr lang="en-IN" baseline="0"/>
              <a:t> </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Slicer!$E$4</c:f>
              <c:strCache>
                <c:ptCount val="1"/>
                <c:pt idx="0">
                  <c:v>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Slicer!$A$5:$D$24</c15:sqref>
                  </c15:fullRef>
                  <c15:levelRef>
                    <c15:sqref>Slicer!$A$5:$A$24</c15:sqref>
                  </c15:levelRef>
                </c:ext>
              </c:extLst>
              <c:f>Slicer!$A$5:$A$24</c:f>
              <c:numCache>
                <c:formatCode>[$-F800]dddd\,\ mmmm\ dd\,\ yyyy</c:formatCode>
                <c:ptCount val="20"/>
                <c:pt idx="0">
                  <c:v>45292</c:v>
                </c:pt>
                <c:pt idx="1">
                  <c:v>45301.526319444441</c:v>
                </c:pt>
                <c:pt idx="2">
                  <c:v>45311.052627314813</c:v>
                </c:pt>
                <c:pt idx="3">
                  <c:v>45320.578946759262</c:v>
                </c:pt>
                <c:pt idx="4">
                  <c:v>45330.105266203704</c:v>
                </c:pt>
                <c:pt idx="5">
                  <c:v>45339.631574074076</c:v>
                </c:pt>
                <c:pt idx="6">
                  <c:v>45349.157893518517</c:v>
                </c:pt>
                <c:pt idx="7">
                  <c:v>45358.684212962966</c:v>
                </c:pt>
                <c:pt idx="8">
                  <c:v>45368.210520833331</c:v>
                </c:pt>
                <c:pt idx="9">
                  <c:v>45377.736840277779</c:v>
                </c:pt>
                <c:pt idx="10">
                  <c:v>45387.263159722221</c:v>
                </c:pt>
                <c:pt idx="11">
                  <c:v>45396.789479166669</c:v>
                </c:pt>
                <c:pt idx="12">
                  <c:v>45406.315787037034</c:v>
                </c:pt>
                <c:pt idx="13">
                  <c:v>45415.842106481483</c:v>
                </c:pt>
                <c:pt idx="14">
                  <c:v>45425.368425925924</c:v>
                </c:pt>
                <c:pt idx="15">
                  <c:v>45434.894733796296</c:v>
                </c:pt>
                <c:pt idx="16">
                  <c:v>45444.421053240738</c:v>
                </c:pt>
                <c:pt idx="17">
                  <c:v>45453.947372685187</c:v>
                </c:pt>
                <c:pt idx="18">
                  <c:v>45463.473680555559</c:v>
                </c:pt>
                <c:pt idx="19">
                  <c:v>45473</c:v>
                </c:pt>
              </c:numCache>
            </c:numRef>
          </c:cat>
          <c:val>
            <c:numRef>
              <c:f>Slicer!$E$5:$E$24</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68D9-4DFA-BE72-2F6DC524AF67}"/>
            </c:ext>
          </c:extLst>
        </c:ser>
        <c:ser>
          <c:idx val="1"/>
          <c:order val="1"/>
          <c:tx>
            <c:strRef>
              <c:f>Slicer!$F$4</c:f>
              <c:strCache>
                <c:ptCount val="1"/>
                <c:pt idx="0">
                  <c:v>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Slicer!$A$5:$D$24</c15:sqref>
                  </c15:fullRef>
                  <c15:levelRef>
                    <c15:sqref>Slicer!$A$5:$A$24</c15:sqref>
                  </c15:levelRef>
                </c:ext>
              </c:extLst>
              <c:f>Slicer!$A$5:$A$24</c:f>
              <c:numCache>
                <c:formatCode>[$-F800]dddd\,\ mmmm\ dd\,\ yyyy</c:formatCode>
                <c:ptCount val="20"/>
                <c:pt idx="0">
                  <c:v>45292</c:v>
                </c:pt>
                <c:pt idx="1">
                  <c:v>45301.526319444441</c:v>
                </c:pt>
                <c:pt idx="2">
                  <c:v>45311.052627314813</c:v>
                </c:pt>
                <c:pt idx="3">
                  <c:v>45320.578946759262</c:v>
                </c:pt>
                <c:pt idx="4">
                  <c:v>45330.105266203704</c:v>
                </c:pt>
                <c:pt idx="5">
                  <c:v>45339.631574074076</c:v>
                </c:pt>
                <c:pt idx="6">
                  <c:v>45349.157893518517</c:v>
                </c:pt>
                <c:pt idx="7">
                  <c:v>45358.684212962966</c:v>
                </c:pt>
                <c:pt idx="8">
                  <c:v>45368.210520833331</c:v>
                </c:pt>
                <c:pt idx="9">
                  <c:v>45377.736840277779</c:v>
                </c:pt>
                <c:pt idx="10">
                  <c:v>45387.263159722221</c:v>
                </c:pt>
                <c:pt idx="11">
                  <c:v>45396.789479166669</c:v>
                </c:pt>
                <c:pt idx="12">
                  <c:v>45406.315787037034</c:v>
                </c:pt>
                <c:pt idx="13">
                  <c:v>45415.842106481483</c:v>
                </c:pt>
                <c:pt idx="14">
                  <c:v>45425.368425925924</c:v>
                </c:pt>
                <c:pt idx="15">
                  <c:v>45434.894733796296</c:v>
                </c:pt>
                <c:pt idx="16">
                  <c:v>45444.421053240738</c:v>
                </c:pt>
                <c:pt idx="17">
                  <c:v>45453.947372685187</c:v>
                </c:pt>
                <c:pt idx="18">
                  <c:v>45463.473680555559</c:v>
                </c:pt>
                <c:pt idx="19">
                  <c:v>45473</c:v>
                </c:pt>
              </c:numCache>
            </c:numRef>
          </c:cat>
          <c:val>
            <c:numRef>
              <c:f>Slicer!$F$5:$F$24</c:f>
              <c:numCache>
                <c:formatCode>General</c:formatCode>
                <c:ptCount val="20"/>
                <c:pt idx="0">
                  <c:v>93</c:v>
                </c:pt>
                <c:pt idx="1">
                  <c:v>56</c:v>
                </c:pt>
                <c:pt idx="2">
                  <c:v>76</c:v>
                </c:pt>
                <c:pt idx="3">
                  <c:v>37</c:v>
                </c:pt>
                <c:pt idx="4">
                  <c:v>50</c:v>
                </c:pt>
                <c:pt idx="5">
                  <c:v>52</c:v>
                </c:pt>
                <c:pt idx="6">
                  <c:v>29</c:v>
                </c:pt>
                <c:pt idx="7">
                  <c:v>44</c:v>
                </c:pt>
                <c:pt idx="8">
                  <c:v>63</c:v>
                </c:pt>
                <c:pt idx="9">
                  <c:v>79</c:v>
                </c:pt>
                <c:pt idx="10">
                  <c:v>23</c:v>
                </c:pt>
                <c:pt idx="11">
                  <c:v>97</c:v>
                </c:pt>
                <c:pt idx="12">
                  <c:v>97</c:v>
                </c:pt>
                <c:pt idx="13">
                  <c:v>92</c:v>
                </c:pt>
                <c:pt idx="14">
                  <c:v>71</c:v>
                </c:pt>
                <c:pt idx="15">
                  <c:v>81</c:v>
                </c:pt>
                <c:pt idx="16">
                  <c:v>45</c:v>
                </c:pt>
                <c:pt idx="17">
                  <c:v>33</c:v>
                </c:pt>
                <c:pt idx="18">
                  <c:v>35</c:v>
                </c:pt>
                <c:pt idx="19">
                  <c:v>45</c:v>
                </c:pt>
              </c:numCache>
            </c:numRef>
          </c:val>
          <c:smooth val="0"/>
          <c:extLst>
            <c:ext xmlns:c16="http://schemas.microsoft.com/office/drawing/2014/chart" uri="{C3380CC4-5D6E-409C-BE32-E72D297353CC}">
              <c16:uniqueId val="{00000001-68D9-4DFA-BE72-2F6DC524AF67}"/>
            </c:ext>
          </c:extLst>
        </c:ser>
        <c:dLbls>
          <c:showLegendKey val="0"/>
          <c:showVal val="0"/>
          <c:showCatName val="0"/>
          <c:showSerName val="0"/>
          <c:showPercent val="0"/>
          <c:showBubbleSize val="0"/>
        </c:dLbls>
        <c:smooth val="0"/>
        <c:axId val="1014346335"/>
        <c:axId val="1014343935"/>
      </c:lineChart>
      <c:dateAx>
        <c:axId val="1014346335"/>
        <c:scaling>
          <c:orientation val="minMax"/>
        </c:scaling>
        <c:delete val="0"/>
        <c:axPos val="b"/>
        <c:numFmt formatCode="[$-F800]dddd\,\ mmmm\ dd\,\ yyyy"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4343935"/>
        <c:crosses val="autoZero"/>
        <c:auto val="1"/>
        <c:lblOffset val="100"/>
        <c:baseTimeUnit val="days"/>
      </c:dateAx>
      <c:valAx>
        <c:axId val="1014343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4346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assignment.xlsx]Pivot Table!PivotTable1</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600-4BA0-B123-C7796939E1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600-4BA0-B123-C7796939E1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600-4BA0-B123-C7796939E1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600-4BA0-B123-C7796939E123}"/>
              </c:ext>
            </c:extLst>
          </c:dPt>
          <c:cat>
            <c:strRef>
              <c:f>'Pivot Table'!$A$4:$A$8</c:f>
              <c:strCache>
                <c:ptCount val="4"/>
                <c:pt idx="0">
                  <c:v>East</c:v>
                </c:pt>
                <c:pt idx="1">
                  <c:v>North</c:v>
                </c:pt>
                <c:pt idx="2">
                  <c:v>South</c:v>
                </c:pt>
                <c:pt idx="3">
                  <c:v>West</c:v>
                </c:pt>
              </c:strCache>
            </c:strRef>
          </c:cat>
          <c:val>
            <c:numRef>
              <c:f>'Pivot Table'!$B$4:$B$8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8-E600-4BA0-B123-C7796939E123}"/>
            </c:ext>
          </c:extLst>
        </c:ser>
        <c:ser>
          <c:idx val="1"/>
          <c:order val="1"/>
          <c:tx>
            <c:strRef>
              <c:f>'Pivot Table'!$C$3</c:f>
              <c:strCache>
                <c:ptCount val="1"/>
                <c:pt idx="0">
                  <c:v>Sum of 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E600-4BA0-B123-C7796939E1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E600-4BA0-B123-C7796939E1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E600-4BA0-B123-C7796939E1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E600-4BA0-B123-C7796939E123}"/>
              </c:ext>
            </c:extLst>
          </c:dPt>
          <c:cat>
            <c:strRef>
              <c:f>'Pivot Table'!$A$4:$A$8</c:f>
              <c:strCache>
                <c:ptCount val="4"/>
                <c:pt idx="0">
                  <c:v>East</c:v>
                </c:pt>
                <c:pt idx="1">
                  <c:v>North</c:v>
                </c:pt>
                <c:pt idx="2">
                  <c:v>South</c:v>
                </c:pt>
                <c:pt idx="3">
                  <c:v>West</c:v>
                </c:pt>
              </c:strCache>
            </c:strRef>
          </c:cat>
          <c:val>
            <c:numRef>
              <c:f>'Pivot Table'!$C$4:$C$8</c:f>
              <c:numCache>
                <c:formatCode>General</c:formatCode>
                <c:ptCount val="4"/>
                <c:pt idx="0">
                  <c:v>97</c:v>
                </c:pt>
                <c:pt idx="1">
                  <c:v>35</c:v>
                </c:pt>
                <c:pt idx="2">
                  <c:v>444</c:v>
                </c:pt>
                <c:pt idx="3">
                  <c:v>622</c:v>
                </c:pt>
              </c:numCache>
            </c:numRef>
          </c:val>
          <c:extLst>
            <c:ext xmlns:c16="http://schemas.microsoft.com/office/drawing/2014/chart" uri="{C3380CC4-5D6E-409C-BE32-E72D297353CC}">
              <c16:uniqueId val="{00000011-E600-4BA0-B123-C7796939E12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736600</xdr:colOff>
      <xdr:row>4</xdr:row>
      <xdr:rowOff>25400</xdr:rowOff>
    </xdr:from>
    <xdr:to>
      <xdr:col>12</xdr:col>
      <xdr:colOff>508000</xdr:colOff>
      <xdr:row>20</xdr:row>
      <xdr:rowOff>25400</xdr:rowOff>
    </xdr:to>
    <xdr:graphicFrame macro="">
      <xdr:nvGraphicFramePr>
        <xdr:cNvPr id="2" name="Chart 1">
          <a:extLst>
            <a:ext uri="{FF2B5EF4-FFF2-40B4-BE49-F238E27FC236}">
              <a16:creationId xmlns:a16="http://schemas.microsoft.com/office/drawing/2014/main" id="{0471BDEC-76EF-CDDD-A15E-E8654523B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307975</xdr:colOff>
      <xdr:row>3</xdr:row>
      <xdr:rowOff>82550</xdr:rowOff>
    </xdr:from>
    <xdr:to>
      <xdr:col>12</xdr:col>
      <xdr:colOff>3175</xdr:colOff>
      <xdr:row>18</xdr:row>
      <xdr:rowOff>63500</xdr:rowOff>
    </xdr:to>
    <xdr:graphicFrame macro="">
      <xdr:nvGraphicFramePr>
        <xdr:cNvPr id="3" name="Chart 2">
          <a:extLst>
            <a:ext uri="{FF2B5EF4-FFF2-40B4-BE49-F238E27FC236}">
              <a16:creationId xmlns:a16="http://schemas.microsoft.com/office/drawing/2014/main" id="{E0C86A4B-B39C-1282-B706-18D0121B3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0</xdr:colOff>
      <xdr:row>2</xdr:row>
      <xdr:rowOff>31751</xdr:rowOff>
    </xdr:from>
    <xdr:to>
      <xdr:col>10</xdr:col>
      <xdr:colOff>463550</xdr:colOff>
      <xdr:row>9</xdr:row>
      <xdr:rowOff>63501</xdr:rowOff>
    </xdr:to>
    <mc:AlternateContent xmlns:mc="http://schemas.openxmlformats.org/markup-compatibility/2006" xmlns:sle15="http://schemas.microsoft.com/office/drawing/2012/slicer">
      <mc:Choice Requires="sle15">
        <xdr:graphicFrame macro="">
          <xdr:nvGraphicFramePr>
            <xdr:cNvPr id="5" name="Product">
              <a:extLst>
                <a:ext uri="{FF2B5EF4-FFF2-40B4-BE49-F238E27FC236}">
                  <a16:creationId xmlns:a16="http://schemas.microsoft.com/office/drawing/2014/main" id="{DAC8241C-5983-353B-DE13-670E165925A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670550" y="400051"/>
              <a:ext cx="2292350" cy="1320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10</xdr:col>
      <xdr:colOff>209550</xdr:colOff>
      <xdr:row>19</xdr:row>
      <xdr:rowOff>50800</xdr:rowOff>
    </xdr:to>
    <xdr:graphicFrame macro="">
      <xdr:nvGraphicFramePr>
        <xdr:cNvPr id="2" name="Chart 1">
          <a:extLst>
            <a:ext uri="{FF2B5EF4-FFF2-40B4-BE49-F238E27FC236}">
              <a16:creationId xmlns:a16="http://schemas.microsoft.com/office/drawing/2014/main" id="{3CFF8650-1AC7-4144-94F2-D0CF03283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25400</xdr:colOff>
      <xdr:row>1</xdr:row>
      <xdr:rowOff>0</xdr:rowOff>
    </xdr:from>
    <xdr:to>
      <xdr:col>19</xdr:col>
      <xdr:colOff>368300</xdr:colOff>
      <xdr:row>16</xdr:row>
      <xdr:rowOff>165100</xdr:rowOff>
    </xdr:to>
    <xdr:graphicFrame macro="">
      <xdr:nvGraphicFramePr>
        <xdr:cNvPr id="3" name="Chart 2">
          <a:extLst>
            <a:ext uri="{FF2B5EF4-FFF2-40B4-BE49-F238E27FC236}">
              <a16:creationId xmlns:a16="http://schemas.microsoft.com/office/drawing/2014/main" id="{BEC2E45E-EF41-441B-B00A-EF61E3B49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20</xdr:col>
      <xdr:colOff>0</xdr:colOff>
      <xdr:row>1</xdr:row>
      <xdr:rowOff>0</xdr:rowOff>
    </xdr:from>
    <xdr:to>
      <xdr:col>23</xdr:col>
      <xdr:colOff>463550</xdr:colOff>
      <xdr:row>8</xdr:row>
      <xdr:rowOff>31750</xdr:rowOff>
    </xdr:to>
    <mc:AlternateContent xmlns:mc="http://schemas.openxmlformats.org/markup-compatibility/2006" xmlns:sle15="http://schemas.microsoft.com/office/drawing/2012/slicer">
      <mc:Choice Requires="sle15">
        <xdr:graphicFrame macro="">
          <xdr:nvGraphicFramePr>
            <xdr:cNvPr id="8" name="Product 1">
              <a:extLst>
                <a:ext uri="{FF2B5EF4-FFF2-40B4-BE49-F238E27FC236}">
                  <a16:creationId xmlns:a16="http://schemas.microsoft.com/office/drawing/2014/main" id="{84727493-1A2A-4FEF-9C96-6E6622F0207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192000" y="184150"/>
              <a:ext cx="2292350" cy="13208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0</xdr:colOff>
      <xdr:row>22</xdr:row>
      <xdr:rowOff>0</xdr:rowOff>
    </xdr:from>
    <xdr:to>
      <xdr:col>8</xdr:col>
      <xdr:colOff>304800</xdr:colOff>
      <xdr:row>36</xdr:row>
      <xdr:rowOff>165100</xdr:rowOff>
    </xdr:to>
    <xdr:graphicFrame macro="">
      <xdr:nvGraphicFramePr>
        <xdr:cNvPr id="4" name="Chart 3">
          <a:extLst>
            <a:ext uri="{FF2B5EF4-FFF2-40B4-BE49-F238E27FC236}">
              <a16:creationId xmlns:a16="http://schemas.microsoft.com/office/drawing/2014/main" id="{D1BDA498-FE55-4953-98DC-4A95D1007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ELITEBOOK" refreshedDate="45971.824412731483" createdVersion="8" refreshedVersion="8" minRefreshableVersion="3" recordCount="20" xr:uid="{FA9F1BB2-BBC3-499A-AC47-BCF6080BDEEF}">
  <cacheSource type="worksheet">
    <worksheetSource ref="A1:F21" sheet="Clean Data"/>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456399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B4997F-C7B3-47D8-899C-6714071F99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7">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Sum of Sales" fld="3" baseField="0" baseItem="0"/>
    <dataField name="Sum of Quantity" fld="4" baseField="0" baseItem="0"/>
  </dataFields>
  <chartFormats count="2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2">
          <reference field="4294967294" count="1" selected="0">
            <x v="1"/>
          </reference>
          <reference field="1" count="1" selected="0">
            <x v="0"/>
          </reference>
        </references>
      </pivotArea>
    </chartFormat>
    <chartFormat chart="2" format="9">
      <pivotArea type="data" outline="0" fieldPosition="0">
        <references count="2">
          <reference field="4294967294" count="1" selected="0">
            <x v="1"/>
          </reference>
          <reference field="1" count="1" selected="0">
            <x v="1"/>
          </reference>
        </references>
      </pivotArea>
    </chartFormat>
    <chartFormat chart="2" format="10">
      <pivotArea type="data" outline="0" fieldPosition="0">
        <references count="2">
          <reference field="4294967294" count="1" selected="0">
            <x v="1"/>
          </reference>
          <reference field="1" count="1" selected="0">
            <x v="2"/>
          </reference>
        </references>
      </pivotArea>
    </chartFormat>
    <chartFormat chart="2" format="11">
      <pivotArea type="data" outline="0" fieldPosition="0">
        <references count="2">
          <reference field="4294967294" count="1" selected="0">
            <x v="1"/>
          </reference>
          <reference field="1"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 count="1" selected="0">
            <x v="0"/>
          </reference>
        </references>
      </pivotArea>
    </chartFormat>
    <chartFormat chart="3" format="19">
      <pivotArea type="data" outline="0" fieldPosition="0">
        <references count="2">
          <reference field="4294967294" count="1" selected="0">
            <x v="1"/>
          </reference>
          <reference field="1" count="1" selected="0">
            <x v="1"/>
          </reference>
        </references>
      </pivotArea>
    </chartFormat>
    <chartFormat chart="3" format="20">
      <pivotArea type="data" outline="0" fieldPosition="0">
        <references count="2">
          <reference field="4294967294" count="1" selected="0">
            <x v="1"/>
          </reference>
          <reference field="1" count="1" selected="0">
            <x v="2"/>
          </reference>
        </references>
      </pivotArea>
    </chartFormat>
    <chartFormat chart="3" format="21">
      <pivotArea type="data" outline="0" fieldPosition="0">
        <references count="2">
          <reference field="4294967294" count="1" selected="0">
            <x v="1"/>
          </reference>
          <reference field="1" count="1" selected="0">
            <x v="3"/>
          </reference>
        </references>
      </pivotArea>
    </chartFormat>
  </chartFormat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65BA9-7C7E-40A3-A870-1582C1985C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0"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6"/>
    <field x="5"/>
    <field x="0"/>
    <field x="1"/>
  </rowFields>
  <rowItems count="7">
    <i>
      <x v="1"/>
    </i>
    <i>
      <x v="2"/>
    </i>
    <i>
      <x v="3"/>
    </i>
    <i>
      <x v="4"/>
    </i>
    <i>
      <x v="5"/>
    </i>
    <i>
      <x v="6"/>
    </i>
    <i t="grand">
      <x/>
    </i>
  </rowItems>
  <colItems count="1">
    <i/>
  </colItems>
  <dataFields count="1">
    <dataField name="Sum of Sales" fld="3" baseField="0" baseItem="0"/>
  </dataFields>
  <chartFormats count="10">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6" count="1" selected="0">
            <x v="1"/>
          </reference>
        </references>
      </pivotArea>
    </chartFormat>
    <chartFormat chart="11" format="10">
      <pivotArea type="data" outline="0" fieldPosition="0">
        <references count="2">
          <reference field="4294967294" count="1" selected="0">
            <x v="0"/>
          </reference>
          <reference field="6" count="1" selected="0">
            <x v="2"/>
          </reference>
        </references>
      </pivotArea>
    </chartFormat>
    <chartFormat chart="11" format="11">
      <pivotArea type="data" outline="0" fieldPosition="0">
        <references count="2">
          <reference field="4294967294" count="1" selected="0">
            <x v="0"/>
          </reference>
          <reference field="6" count="1" selected="0">
            <x v="3"/>
          </reference>
        </references>
      </pivotArea>
    </chartFormat>
    <chartFormat chart="11" format="12">
      <pivotArea type="data" outline="0" fieldPosition="0">
        <references count="2">
          <reference field="4294967294" count="1" selected="0">
            <x v="0"/>
          </reference>
          <reference field="6" count="1" selected="0">
            <x v="4"/>
          </reference>
        </references>
      </pivotArea>
    </chartFormat>
    <chartFormat chart="11" format="13">
      <pivotArea type="data" outline="0" fieldPosition="0">
        <references count="2">
          <reference field="4294967294" count="1" selected="0">
            <x v="0"/>
          </reference>
          <reference field="6" count="1" selected="0">
            <x v="5"/>
          </reference>
        </references>
      </pivotArea>
    </chartFormat>
    <chartFormat chart="11" format="14">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1780F70-0343-4A4D-9930-85C3E2D57273}" sourceName="Product">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463140C-05CF-4409-AAA8-CC18F5AEB774}"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9176262-2C32-487A-BD7D-996CDEFBD4DD}" cache="Slicer_Product" caption="Product"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B51F6D-D84D-48F0-91B4-AF4857A4DF13}" name="Table3" displayName="Table3" ref="A4:F24" totalsRowShown="0" headerRowDxfId="9" dataDxfId="7" headerRowBorderDxfId="8" tableBorderDxfId="6">
  <autoFilter ref="A4:F24" xr:uid="{DCB51F6D-D84D-48F0-91B4-AF4857A4DF13}"/>
  <tableColumns count="6">
    <tableColumn id="1" xr3:uid="{D939B81F-F809-4849-BE1F-3C380902DB5A}" name="Date" dataDxfId="5"/>
    <tableColumn id="2" xr3:uid="{623EEEB2-CBCB-471D-A5FC-2C6D564C38F5}" name="Months" dataDxfId="4">
      <calculatedColumnFormula>TEXT(A5,"mmmm")</calculatedColumnFormula>
    </tableColumn>
    <tableColumn id="3" xr3:uid="{87BCC6CB-46BF-4CCC-ADA1-07DA1E9752BA}" name="Region" dataDxfId="3"/>
    <tableColumn id="4" xr3:uid="{DE3B056C-CD2B-4D59-B336-0AADA4D9A084}" name="Product" dataDxfId="2"/>
    <tableColumn id="5" xr3:uid="{E9E17B3E-39E2-409B-BCBD-0404E9AFCB6C}" name="Sales" dataDxfId="1"/>
    <tableColumn id="6" xr3:uid="{18820733-8578-4378-AB3E-104B63A71F9D}" name="Quantity" dataDxfId="0"/>
  </tableColumns>
  <tableStyleInfo name="TableStyleLight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529F-B774-4643-B115-2E7EC63E64B6}">
  <dimension ref="A1:E21"/>
  <sheetViews>
    <sheetView topLeftCell="A5" workbookViewId="0">
      <selection sqref="A1:E21"/>
    </sheetView>
  </sheetViews>
  <sheetFormatPr defaultRowHeight="14.5" x14ac:dyDescent="0.35"/>
  <cols>
    <col min="1" max="1" width="15.1796875" bestFit="1" customWidth="1"/>
  </cols>
  <sheetData>
    <row r="1" spans="1:5" ht="15" thickBot="1" x14ac:dyDescent="0.4">
      <c r="A1" s="1" t="s">
        <v>0</v>
      </c>
      <c r="B1" s="2" t="s">
        <v>1</v>
      </c>
      <c r="C1" s="2" t="s">
        <v>2</v>
      </c>
      <c r="D1" s="2" t="s">
        <v>3</v>
      </c>
      <c r="E1" s="2" t="s">
        <v>4</v>
      </c>
    </row>
    <row r="2" spans="1:5" ht="15" thickBot="1" x14ac:dyDescent="0.4">
      <c r="A2" s="3">
        <v>45292</v>
      </c>
      <c r="B2" s="4" t="s">
        <v>5</v>
      </c>
      <c r="C2" s="4" t="s">
        <v>6</v>
      </c>
      <c r="D2" s="5">
        <v>456</v>
      </c>
      <c r="E2" s="5">
        <v>93</v>
      </c>
    </row>
    <row r="3" spans="1:5" ht="15" thickBot="1" x14ac:dyDescent="0.4">
      <c r="A3" s="3">
        <v>45301.526319444441</v>
      </c>
      <c r="B3" s="4" t="s">
        <v>7</v>
      </c>
      <c r="C3" s="4" t="s">
        <v>8</v>
      </c>
      <c r="D3" s="5">
        <v>348</v>
      </c>
      <c r="E3" s="5">
        <v>56</v>
      </c>
    </row>
    <row r="4" spans="1:5" ht="15" thickBot="1" x14ac:dyDescent="0.4">
      <c r="A4" s="3">
        <v>45311.052627314813</v>
      </c>
      <c r="B4" s="4" t="s">
        <v>7</v>
      </c>
      <c r="C4" s="4" t="s">
        <v>6</v>
      </c>
      <c r="D4" s="5">
        <v>247</v>
      </c>
      <c r="E4" s="5">
        <v>76</v>
      </c>
    </row>
    <row r="5" spans="1:5" ht="15" thickBot="1" x14ac:dyDescent="0.4">
      <c r="A5" s="3">
        <v>45320.578946759262</v>
      </c>
      <c r="B5" s="4" t="s">
        <v>5</v>
      </c>
      <c r="C5" s="4" t="s">
        <v>9</v>
      </c>
      <c r="D5" s="5">
        <v>230</v>
      </c>
      <c r="E5" s="5">
        <v>37</v>
      </c>
    </row>
    <row r="6" spans="1:5" ht="15" thickBot="1" x14ac:dyDescent="0.4">
      <c r="A6" s="3">
        <v>45330.105266203704</v>
      </c>
      <c r="B6" s="4" t="s">
        <v>5</v>
      </c>
      <c r="C6" s="4" t="s">
        <v>6</v>
      </c>
      <c r="D6" s="5">
        <v>281</v>
      </c>
      <c r="E6" s="5">
        <v>50</v>
      </c>
    </row>
    <row r="7" spans="1:5" ht="15" thickBot="1" x14ac:dyDescent="0.4">
      <c r="A7" s="3">
        <v>45339.631574074076</v>
      </c>
      <c r="B7" s="4" t="s">
        <v>5</v>
      </c>
      <c r="C7" s="4" t="s">
        <v>8</v>
      </c>
      <c r="D7" s="5">
        <v>334</v>
      </c>
      <c r="E7" s="5">
        <v>52</v>
      </c>
    </row>
    <row r="8" spans="1:5" ht="15" thickBot="1" x14ac:dyDescent="0.4">
      <c r="A8" s="3">
        <v>45349.157893518517</v>
      </c>
      <c r="B8" s="4" t="s">
        <v>7</v>
      </c>
      <c r="C8" s="4" t="s">
        <v>9</v>
      </c>
      <c r="D8" s="5">
        <v>417</v>
      </c>
      <c r="E8" s="5">
        <v>29</v>
      </c>
    </row>
    <row r="9" spans="1:5" ht="15" thickBot="1" x14ac:dyDescent="0.4">
      <c r="A9" s="3">
        <v>45358.684212962966</v>
      </c>
      <c r="B9" s="4" t="s">
        <v>5</v>
      </c>
      <c r="C9" s="4" t="s">
        <v>9</v>
      </c>
      <c r="D9" s="5">
        <v>441</v>
      </c>
      <c r="E9" s="5">
        <v>44</v>
      </c>
    </row>
    <row r="10" spans="1:5" ht="15" thickBot="1" x14ac:dyDescent="0.4">
      <c r="A10" s="3">
        <v>45368.210520833331</v>
      </c>
      <c r="B10" s="4" t="s">
        <v>7</v>
      </c>
      <c r="C10" s="4" t="s">
        <v>6</v>
      </c>
      <c r="D10" s="5">
        <v>76</v>
      </c>
      <c r="E10" s="5">
        <v>63</v>
      </c>
    </row>
    <row r="11" spans="1:5" ht="15" thickBot="1" x14ac:dyDescent="0.4">
      <c r="A11" s="3">
        <v>45377.736840277779</v>
      </c>
      <c r="B11" s="4" t="s">
        <v>5</v>
      </c>
      <c r="C11" s="4" t="s">
        <v>8</v>
      </c>
      <c r="D11" s="5">
        <v>441</v>
      </c>
      <c r="E11" s="5">
        <v>79</v>
      </c>
    </row>
    <row r="12" spans="1:5" ht="15" thickBot="1" x14ac:dyDescent="0.4">
      <c r="A12" s="3">
        <v>45387.263159722221</v>
      </c>
      <c r="B12" s="4" t="s">
        <v>7</v>
      </c>
      <c r="C12" s="4" t="s">
        <v>6</v>
      </c>
      <c r="D12" s="5">
        <v>205</v>
      </c>
      <c r="E12" s="5">
        <v>23</v>
      </c>
    </row>
    <row r="13" spans="1:5" ht="15" thickBot="1" x14ac:dyDescent="0.4">
      <c r="A13" s="3">
        <v>45396.789479166669</v>
      </c>
      <c r="B13" s="4" t="s">
        <v>5</v>
      </c>
      <c r="C13" s="4" t="s">
        <v>8</v>
      </c>
      <c r="D13" s="5">
        <v>483</v>
      </c>
      <c r="E13" s="5">
        <v>97</v>
      </c>
    </row>
    <row r="14" spans="1:5" ht="15" thickBot="1" x14ac:dyDescent="0.4">
      <c r="A14" s="3">
        <v>45406.315787037034</v>
      </c>
      <c r="B14" s="4" t="s">
        <v>10</v>
      </c>
      <c r="C14" s="4" t="s">
        <v>6</v>
      </c>
      <c r="D14" s="5">
        <v>467</v>
      </c>
      <c r="E14" s="5">
        <v>97</v>
      </c>
    </row>
    <row r="15" spans="1:5" ht="15" thickBot="1" x14ac:dyDescent="0.4">
      <c r="A15" s="3">
        <v>45415.842106481483</v>
      </c>
      <c r="B15" s="4" t="s">
        <v>5</v>
      </c>
      <c r="C15" s="4" t="s">
        <v>6</v>
      </c>
      <c r="D15" s="5">
        <v>380</v>
      </c>
      <c r="E15" s="5">
        <v>92</v>
      </c>
    </row>
    <row r="16" spans="1:5"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1AA29-F208-4B51-8AD3-B1D67442CD3C}">
  <dimension ref="A1:F21"/>
  <sheetViews>
    <sheetView topLeftCell="P4" workbookViewId="0">
      <selection sqref="A1:F21"/>
    </sheetView>
  </sheetViews>
  <sheetFormatPr defaultRowHeight="14.5" x14ac:dyDescent="0.35"/>
  <cols>
    <col min="1" max="1" width="20.36328125" customWidth="1"/>
    <col min="2" max="2" width="12.6328125" customWidth="1"/>
  </cols>
  <sheetData>
    <row r="1" spans="1:6" s="16" customFormat="1" x14ac:dyDescent="0.35">
      <c r="A1" s="17" t="s">
        <v>0</v>
      </c>
      <c r="B1" s="17" t="s">
        <v>23</v>
      </c>
      <c r="C1" s="17" t="s">
        <v>1</v>
      </c>
      <c r="D1" s="17" t="s">
        <v>2</v>
      </c>
      <c r="E1" s="17" t="s">
        <v>3</v>
      </c>
      <c r="F1" s="17" t="s">
        <v>4</v>
      </c>
    </row>
    <row r="2" spans="1:6" x14ac:dyDescent="0.35">
      <c r="A2" s="14">
        <v>45292</v>
      </c>
      <c r="B2" s="14" t="str">
        <f>TEXT(A2,"mmmm")</f>
        <v>January</v>
      </c>
      <c r="C2" s="15" t="s">
        <v>5</v>
      </c>
      <c r="D2" s="15" t="s">
        <v>6</v>
      </c>
      <c r="E2" s="15">
        <v>456</v>
      </c>
      <c r="F2" s="15">
        <v>93</v>
      </c>
    </row>
    <row r="3" spans="1:6" x14ac:dyDescent="0.35">
      <c r="A3" s="6">
        <v>45301.526319444441</v>
      </c>
      <c r="B3" s="6" t="str">
        <f t="shared" ref="B3:B21" si="0">TEXT(A3,"mmmm")</f>
        <v>January</v>
      </c>
      <c r="C3" s="7" t="s">
        <v>7</v>
      </c>
      <c r="D3" s="7" t="s">
        <v>8</v>
      </c>
      <c r="E3" s="7">
        <v>348</v>
      </c>
      <c r="F3" s="7">
        <v>56</v>
      </c>
    </row>
    <row r="4" spans="1:6" x14ac:dyDescent="0.35">
      <c r="A4" s="6">
        <v>45311.052627314813</v>
      </c>
      <c r="B4" s="6" t="str">
        <f t="shared" si="0"/>
        <v>January</v>
      </c>
      <c r="C4" s="7" t="s">
        <v>7</v>
      </c>
      <c r="D4" s="7" t="s">
        <v>6</v>
      </c>
      <c r="E4" s="7">
        <v>247</v>
      </c>
      <c r="F4" s="7">
        <v>76</v>
      </c>
    </row>
    <row r="5" spans="1:6" x14ac:dyDescent="0.35">
      <c r="A5" s="6">
        <v>45320.578946759262</v>
      </c>
      <c r="B5" s="6" t="str">
        <f t="shared" si="0"/>
        <v>January</v>
      </c>
      <c r="C5" s="7" t="s">
        <v>5</v>
      </c>
      <c r="D5" s="7" t="s">
        <v>9</v>
      </c>
      <c r="E5" s="7">
        <v>230</v>
      </c>
      <c r="F5" s="7">
        <v>37</v>
      </c>
    </row>
    <row r="6" spans="1:6" x14ac:dyDescent="0.35">
      <c r="A6" s="6">
        <v>45330.105266203704</v>
      </c>
      <c r="B6" s="6" t="str">
        <f t="shared" si="0"/>
        <v>February</v>
      </c>
      <c r="C6" s="7" t="s">
        <v>5</v>
      </c>
      <c r="D6" s="7" t="s">
        <v>6</v>
      </c>
      <c r="E6" s="7">
        <v>281</v>
      </c>
      <c r="F6" s="7">
        <v>50</v>
      </c>
    </row>
    <row r="7" spans="1:6" x14ac:dyDescent="0.35">
      <c r="A7" s="6">
        <v>45339.631574074076</v>
      </c>
      <c r="B7" s="6" t="str">
        <f t="shared" si="0"/>
        <v>February</v>
      </c>
      <c r="C7" s="7" t="s">
        <v>5</v>
      </c>
      <c r="D7" s="7" t="s">
        <v>8</v>
      </c>
      <c r="E7" s="7">
        <v>334</v>
      </c>
      <c r="F7" s="7">
        <v>52</v>
      </c>
    </row>
    <row r="8" spans="1:6" x14ac:dyDescent="0.35">
      <c r="A8" s="6">
        <v>45349.157893518517</v>
      </c>
      <c r="B8" s="6" t="str">
        <f t="shared" si="0"/>
        <v>February</v>
      </c>
      <c r="C8" s="7" t="s">
        <v>7</v>
      </c>
      <c r="D8" s="7" t="s">
        <v>9</v>
      </c>
      <c r="E8" s="7">
        <v>417</v>
      </c>
      <c r="F8" s="7">
        <v>29</v>
      </c>
    </row>
    <row r="9" spans="1:6" x14ac:dyDescent="0.35">
      <c r="A9" s="6">
        <v>45358.684212962966</v>
      </c>
      <c r="B9" s="6" t="str">
        <f t="shared" si="0"/>
        <v>March</v>
      </c>
      <c r="C9" s="7" t="s">
        <v>5</v>
      </c>
      <c r="D9" s="7" t="s">
        <v>9</v>
      </c>
      <c r="E9" s="7">
        <v>441</v>
      </c>
      <c r="F9" s="7">
        <v>44</v>
      </c>
    </row>
    <row r="10" spans="1:6" x14ac:dyDescent="0.35">
      <c r="A10" s="6">
        <v>45368.210520833331</v>
      </c>
      <c r="B10" s="6" t="str">
        <f t="shared" si="0"/>
        <v>March</v>
      </c>
      <c r="C10" s="7" t="s">
        <v>7</v>
      </c>
      <c r="D10" s="7" t="s">
        <v>6</v>
      </c>
      <c r="E10" s="7">
        <v>76</v>
      </c>
      <c r="F10" s="7">
        <v>63</v>
      </c>
    </row>
    <row r="11" spans="1:6" x14ac:dyDescent="0.35">
      <c r="A11" s="6">
        <v>45377.736840277779</v>
      </c>
      <c r="B11" s="6" t="str">
        <f t="shared" si="0"/>
        <v>March</v>
      </c>
      <c r="C11" s="7" t="s">
        <v>5</v>
      </c>
      <c r="D11" s="7" t="s">
        <v>8</v>
      </c>
      <c r="E11" s="7">
        <v>441</v>
      </c>
      <c r="F11" s="7">
        <v>79</v>
      </c>
    </row>
    <row r="12" spans="1:6" x14ac:dyDescent="0.35">
      <c r="A12" s="6">
        <v>45387.263159722221</v>
      </c>
      <c r="B12" s="6" t="str">
        <f t="shared" si="0"/>
        <v>April</v>
      </c>
      <c r="C12" s="7" t="s">
        <v>7</v>
      </c>
      <c r="D12" s="7" t="s">
        <v>6</v>
      </c>
      <c r="E12" s="7">
        <v>205</v>
      </c>
      <c r="F12" s="7">
        <v>23</v>
      </c>
    </row>
    <row r="13" spans="1:6" x14ac:dyDescent="0.35">
      <c r="A13" s="6">
        <v>45396.789479166669</v>
      </c>
      <c r="B13" s="6" t="str">
        <f t="shared" si="0"/>
        <v>April</v>
      </c>
      <c r="C13" s="7" t="s">
        <v>5</v>
      </c>
      <c r="D13" s="7" t="s">
        <v>8</v>
      </c>
      <c r="E13" s="7">
        <v>483</v>
      </c>
      <c r="F13" s="7">
        <v>97</v>
      </c>
    </row>
    <row r="14" spans="1:6" x14ac:dyDescent="0.35">
      <c r="A14" s="6">
        <v>45406.315787037034</v>
      </c>
      <c r="B14" s="6" t="str">
        <f t="shared" si="0"/>
        <v>April</v>
      </c>
      <c r="C14" s="7" t="s">
        <v>10</v>
      </c>
      <c r="D14" s="7" t="s">
        <v>6</v>
      </c>
      <c r="E14" s="7">
        <v>467</v>
      </c>
      <c r="F14" s="7">
        <v>97</v>
      </c>
    </row>
    <row r="15" spans="1:6" x14ac:dyDescent="0.35">
      <c r="A15" s="6">
        <v>45415.842106481483</v>
      </c>
      <c r="B15" s="6" t="str">
        <f t="shared" si="0"/>
        <v>May</v>
      </c>
      <c r="C15" s="7" t="s">
        <v>5</v>
      </c>
      <c r="D15" s="7" t="s">
        <v>6</v>
      </c>
      <c r="E15" s="7">
        <v>380</v>
      </c>
      <c r="F15" s="7">
        <v>92</v>
      </c>
    </row>
    <row r="16" spans="1:6" x14ac:dyDescent="0.35">
      <c r="A16" s="6">
        <v>45425.368425925924</v>
      </c>
      <c r="B16" s="6" t="str">
        <f t="shared" si="0"/>
        <v>May</v>
      </c>
      <c r="C16" s="7" t="s">
        <v>7</v>
      </c>
      <c r="D16" s="7" t="s">
        <v>8</v>
      </c>
      <c r="E16" s="7">
        <v>497</v>
      </c>
      <c r="F16" s="7">
        <v>71</v>
      </c>
    </row>
    <row r="17" spans="1:6" x14ac:dyDescent="0.35">
      <c r="A17" s="6">
        <v>45434.894733796296</v>
      </c>
      <c r="B17" s="6" t="str">
        <f t="shared" si="0"/>
        <v>May</v>
      </c>
      <c r="C17" s="7" t="s">
        <v>7</v>
      </c>
      <c r="D17" s="7" t="s">
        <v>6</v>
      </c>
      <c r="E17" s="7">
        <v>409</v>
      </c>
      <c r="F17" s="7">
        <v>81</v>
      </c>
    </row>
    <row r="18" spans="1:6" x14ac:dyDescent="0.35">
      <c r="A18" s="6">
        <v>45444.421053240738</v>
      </c>
      <c r="B18" s="6" t="str">
        <f t="shared" si="0"/>
        <v>June</v>
      </c>
      <c r="C18" s="7" t="s">
        <v>5</v>
      </c>
      <c r="D18" s="7" t="s">
        <v>8</v>
      </c>
      <c r="E18" s="7">
        <v>53</v>
      </c>
      <c r="F18" s="7">
        <v>45</v>
      </c>
    </row>
    <row r="19" spans="1:6" x14ac:dyDescent="0.35">
      <c r="A19" s="6">
        <v>45453.947372685187</v>
      </c>
      <c r="B19" s="6" t="str">
        <f t="shared" si="0"/>
        <v>June</v>
      </c>
      <c r="C19" s="7" t="s">
        <v>5</v>
      </c>
      <c r="D19" s="7" t="s">
        <v>9</v>
      </c>
      <c r="E19" s="7">
        <v>398</v>
      </c>
      <c r="F19" s="7">
        <v>33</v>
      </c>
    </row>
    <row r="20" spans="1:6" x14ac:dyDescent="0.35">
      <c r="A20" s="6">
        <v>45463.473680555559</v>
      </c>
      <c r="B20" s="6" t="str">
        <f t="shared" si="0"/>
        <v>June</v>
      </c>
      <c r="C20" s="7" t="s">
        <v>11</v>
      </c>
      <c r="D20" s="7" t="s">
        <v>8</v>
      </c>
      <c r="E20" s="7">
        <v>347</v>
      </c>
      <c r="F20" s="7">
        <v>35</v>
      </c>
    </row>
    <row r="21" spans="1:6" x14ac:dyDescent="0.35">
      <c r="A21" s="6">
        <v>45473</v>
      </c>
      <c r="B21" s="6" t="str">
        <f t="shared" si="0"/>
        <v>June</v>
      </c>
      <c r="C21" s="7" t="s">
        <v>7</v>
      </c>
      <c r="D21" s="7" t="s">
        <v>9</v>
      </c>
      <c r="E21" s="7">
        <v>319</v>
      </c>
      <c r="F21" s="7">
        <v>45</v>
      </c>
    </row>
  </sheetData>
  <sortState xmlns:xlrd2="http://schemas.microsoft.com/office/spreadsheetml/2017/richdata2" ref="A2:F21">
    <sortCondition ref="A2:A2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1418-38F0-487F-9842-255DC757BBC1}">
  <dimension ref="A3:L8"/>
  <sheetViews>
    <sheetView workbookViewId="0">
      <selection activeCell="J13" sqref="J13"/>
    </sheetView>
  </sheetViews>
  <sheetFormatPr defaultRowHeight="14.5" x14ac:dyDescent="0.35"/>
  <cols>
    <col min="1" max="1" width="12.36328125" bestFit="1" customWidth="1"/>
    <col min="2" max="2" width="11.26953125" bestFit="1" customWidth="1"/>
    <col min="3" max="3" width="14.54296875" bestFit="1" customWidth="1"/>
    <col min="10" max="10" width="19.1796875" customWidth="1"/>
  </cols>
  <sheetData>
    <row r="3" spans="1:12" x14ac:dyDescent="0.35">
      <c r="A3" s="10" t="s">
        <v>13</v>
      </c>
      <c r="B3" t="s">
        <v>15</v>
      </c>
      <c r="C3" t="s">
        <v>16</v>
      </c>
      <c r="F3" s="27" t="s">
        <v>24</v>
      </c>
      <c r="G3" s="27"/>
      <c r="H3" s="27"/>
      <c r="I3" s="27"/>
      <c r="J3" s="27"/>
      <c r="K3" s="27"/>
      <c r="L3" s="27"/>
    </row>
    <row r="4" spans="1:12" ht="13" customHeight="1" x14ac:dyDescent="0.35">
      <c r="A4" s="11" t="s">
        <v>10</v>
      </c>
      <c r="B4" s="33">
        <v>467</v>
      </c>
      <c r="C4" s="33">
        <v>97</v>
      </c>
      <c r="F4" s="27"/>
      <c r="G4" s="27"/>
      <c r="H4" s="27"/>
      <c r="I4" s="27"/>
      <c r="J4" s="27"/>
      <c r="K4" s="27"/>
      <c r="L4" s="27"/>
    </row>
    <row r="5" spans="1:12" x14ac:dyDescent="0.35">
      <c r="A5" s="11" t="s">
        <v>11</v>
      </c>
      <c r="B5" s="33">
        <v>347</v>
      </c>
      <c r="C5" s="33">
        <v>35</v>
      </c>
      <c r="F5" s="27"/>
      <c r="G5" s="27"/>
      <c r="H5" s="27"/>
      <c r="I5" s="27"/>
      <c r="J5" s="27"/>
      <c r="K5" s="27"/>
      <c r="L5" s="27"/>
    </row>
    <row r="6" spans="1:12" x14ac:dyDescent="0.35">
      <c r="A6" s="11" t="s">
        <v>7</v>
      </c>
      <c r="B6" s="33">
        <v>2518</v>
      </c>
      <c r="C6" s="33">
        <v>444</v>
      </c>
      <c r="F6" s="27"/>
      <c r="G6" s="27"/>
      <c r="H6" s="27"/>
      <c r="I6" s="27"/>
      <c r="J6" s="27"/>
      <c r="K6" s="27"/>
      <c r="L6" s="27"/>
    </row>
    <row r="7" spans="1:12" x14ac:dyDescent="0.35">
      <c r="A7" s="11" t="s">
        <v>5</v>
      </c>
      <c r="B7" s="33">
        <v>3497</v>
      </c>
      <c r="C7" s="33">
        <v>622</v>
      </c>
      <c r="F7" s="27"/>
      <c r="G7" s="27"/>
      <c r="H7" s="27"/>
      <c r="I7" s="27"/>
      <c r="J7" s="27"/>
      <c r="K7" s="27"/>
      <c r="L7" s="27"/>
    </row>
    <row r="8" spans="1:12" x14ac:dyDescent="0.35">
      <c r="A8" s="11" t="s">
        <v>14</v>
      </c>
      <c r="B8" s="33">
        <v>6829</v>
      </c>
      <c r="C8" s="33">
        <v>1198</v>
      </c>
    </row>
  </sheetData>
  <mergeCells count="1">
    <mergeCell ref="F3:L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8A4A-3ADB-4EDD-A2B1-A6D9EA3E9254}">
  <dimension ref="A1:J24"/>
  <sheetViews>
    <sheetView workbookViewId="0">
      <selection sqref="A1:J2"/>
    </sheetView>
  </sheetViews>
  <sheetFormatPr defaultRowHeight="14.5" x14ac:dyDescent="0.35"/>
  <cols>
    <col min="1" max="1" width="15.26953125" bestFit="1" customWidth="1"/>
  </cols>
  <sheetData>
    <row r="1" spans="1:10" x14ac:dyDescent="0.35">
      <c r="A1" s="28" t="s">
        <v>12</v>
      </c>
      <c r="B1" s="28"/>
      <c r="C1" s="28"/>
      <c r="D1" s="28"/>
      <c r="E1" s="28"/>
      <c r="F1" s="28"/>
      <c r="G1" s="28"/>
      <c r="H1" s="28"/>
      <c r="I1" s="28"/>
      <c r="J1" s="28"/>
    </row>
    <row r="2" spans="1:10" ht="15.5" customHeight="1" x14ac:dyDescent="0.35">
      <c r="A2" s="28"/>
      <c r="B2" s="28"/>
      <c r="C2" s="28"/>
      <c r="D2" s="28"/>
      <c r="E2" s="28"/>
      <c r="F2" s="28"/>
      <c r="G2" s="28"/>
      <c r="H2" s="28"/>
      <c r="I2" s="28"/>
      <c r="J2" s="28"/>
    </row>
    <row r="3" spans="1:10" ht="15" thickBot="1" x14ac:dyDescent="0.4"/>
    <row r="4" spans="1:10" x14ac:dyDescent="0.35">
      <c r="A4" s="8" t="s">
        <v>0</v>
      </c>
      <c r="B4" s="9" t="s">
        <v>1</v>
      </c>
      <c r="C4" s="9" t="s">
        <v>2</v>
      </c>
      <c r="D4" s="9" t="s">
        <v>3</v>
      </c>
      <c r="E4" s="9" t="s">
        <v>4</v>
      </c>
      <c r="H4" s="9" t="s">
        <v>3</v>
      </c>
    </row>
    <row r="5" spans="1:10" x14ac:dyDescent="0.35">
      <c r="A5" s="6">
        <v>45292</v>
      </c>
      <c r="B5" s="7" t="s">
        <v>5</v>
      </c>
      <c r="C5" s="7" t="s">
        <v>6</v>
      </c>
      <c r="D5" s="7">
        <v>456</v>
      </c>
      <c r="E5" s="7">
        <v>93</v>
      </c>
      <c r="H5" s="7">
        <v>497</v>
      </c>
    </row>
    <row r="6" spans="1:10" x14ac:dyDescent="0.35">
      <c r="A6" s="6">
        <v>45301.526319444441</v>
      </c>
      <c r="B6" s="7" t="s">
        <v>7</v>
      </c>
      <c r="C6" s="7" t="s">
        <v>8</v>
      </c>
      <c r="D6" s="7">
        <v>348</v>
      </c>
      <c r="E6" s="7">
        <v>56</v>
      </c>
      <c r="H6" s="7">
        <v>483</v>
      </c>
    </row>
    <row r="7" spans="1:10" x14ac:dyDescent="0.35">
      <c r="A7" s="6">
        <v>45311.052627314813</v>
      </c>
      <c r="B7" s="7" t="s">
        <v>7</v>
      </c>
      <c r="C7" s="7" t="s">
        <v>6</v>
      </c>
      <c r="D7" s="7">
        <v>247</v>
      </c>
      <c r="E7" s="7">
        <v>76</v>
      </c>
      <c r="H7" s="7">
        <v>467</v>
      </c>
    </row>
    <row r="8" spans="1:10" x14ac:dyDescent="0.35">
      <c r="A8" s="6">
        <v>45320.578946759262</v>
      </c>
      <c r="B8" s="7" t="s">
        <v>5</v>
      </c>
      <c r="C8" s="7" t="s">
        <v>9</v>
      </c>
      <c r="D8" s="7">
        <v>230</v>
      </c>
      <c r="E8" s="7">
        <v>37</v>
      </c>
      <c r="H8" s="7">
        <v>456</v>
      </c>
    </row>
    <row r="9" spans="1:10" x14ac:dyDescent="0.35">
      <c r="A9" s="6">
        <v>45330.105266203704</v>
      </c>
      <c r="B9" s="7" t="s">
        <v>5</v>
      </c>
      <c r="C9" s="7" t="s">
        <v>6</v>
      </c>
      <c r="D9" s="7">
        <v>281</v>
      </c>
      <c r="E9" s="7">
        <v>50</v>
      </c>
      <c r="H9" s="7">
        <v>441</v>
      </c>
    </row>
    <row r="10" spans="1:10" x14ac:dyDescent="0.35">
      <c r="A10" s="6">
        <v>45339.631574074076</v>
      </c>
      <c r="B10" s="7" t="s">
        <v>5</v>
      </c>
      <c r="C10" s="7" t="s">
        <v>8</v>
      </c>
      <c r="D10" s="7">
        <v>334</v>
      </c>
      <c r="E10" s="7">
        <v>52</v>
      </c>
      <c r="H10" s="7">
        <v>441</v>
      </c>
    </row>
    <row r="11" spans="1:10" x14ac:dyDescent="0.35">
      <c r="A11" s="6">
        <v>45349.157893518517</v>
      </c>
      <c r="B11" s="7" t="s">
        <v>7</v>
      </c>
      <c r="C11" s="7" t="s">
        <v>9</v>
      </c>
      <c r="D11" s="7">
        <v>417</v>
      </c>
      <c r="E11" s="7">
        <v>29</v>
      </c>
      <c r="H11" s="7">
        <v>417</v>
      </c>
    </row>
    <row r="12" spans="1:10" x14ac:dyDescent="0.35">
      <c r="A12" s="6">
        <v>45358.684212962966</v>
      </c>
      <c r="B12" s="7" t="s">
        <v>5</v>
      </c>
      <c r="C12" s="7" t="s">
        <v>9</v>
      </c>
      <c r="D12" s="7">
        <v>441</v>
      </c>
      <c r="E12" s="7">
        <v>44</v>
      </c>
      <c r="H12" s="7">
        <v>409</v>
      </c>
    </row>
    <row r="13" spans="1:10" x14ac:dyDescent="0.35">
      <c r="A13" s="6">
        <v>45368.210520833331</v>
      </c>
      <c r="B13" s="7" t="s">
        <v>7</v>
      </c>
      <c r="C13" s="7" t="s">
        <v>6</v>
      </c>
      <c r="D13" s="7">
        <v>76</v>
      </c>
      <c r="E13" s="7">
        <v>63</v>
      </c>
      <c r="H13" s="7">
        <v>398</v>
      </c>
    </row>
    <row r="14" spans="1:10" x14ac:dyDescent="0.35">
      <c r="A14" s="6">
        <v>45377.736840277779</v>
      </c>
      <c r="B14" s="7" t="s">
        <v>5</v>
      </c>
      <c r="C14" s="7" t="s">
        <v>8</v>
      </c>
      <c r="D14" s="7">
        <v>441</v>
      </c>
      <c r="E14" s="7">
        <v>79</v>
      </c>
      <c r="H14" s="7">
        <v>380</v>
      </c>
    </row>
    <row r="15" spans="1:10" x14ac:dyDescent="0.35">
      <c r="A15" s="6">
        <v>45387.263159722221</v>
      </c>
      <c r="B15" s="7" t="s">
        <v>7</v>
      </c>
      <c r="C15" s="7" t="s">
        <v>6</v>
      </c>
      <c r="D15" s="7">
        <v>205</v>
      </c>
      <c r="E15" s="7">
        <v>23</v>
      </c>
      <c r="H15" s="7">
        <v>348</v>
      </c>
    </row>
    <row r="16" spans="1:10" x14ac:dyDescent="0.35">
      <c r="A16" s="6">
        <v>45396.789479166669</v>
      </c>
      <c r="B16" s="7" t="s">
        <v>5</v>
      </c>
      <c r="C16" s="7" t="s">
        <v>8</v>
      </c>
      <c r="D16" s="7">
        <v>483</v>
      </c>
      <c r="E16" s="7">
        <v>97</v>
      </c>
      <c r="H16" s="7">
        <v>347</v>
      </c>
    </row>
    <row r="17" spans="1:8" x14ac:dyDescent="0.35">
      <c r="A17" s="6">
        <v>45406.315787037034</v>
      </c>
      <c r="B17" s="7" t="s">
        <v>10</v>
      </c>
      <c r="C17" s="7" t="s">
        <v>6</v>
      </c>
      <c r="D17" s="7">
        <v>467</v>
      </c>
      <c r="E17" s="7">
        <v>97</v>
      </c>
      <c r="H17" s="7">
        <v>334</v>
      </c>
    </row>
    <row r="18" spans="1:8" x14ac:dyDescent="0.35">
      <c r="A18" s="6">
        <v>45415.842106481483</v>
      </c>
      <c r="B18" s="7" t="s">
        <v>5</v>
      </c>
      <c r="C18" s="7" t="s">
        <v>6</v>
      </c>
      <c r="D18" s="7">
        <v>380</v>
      </c>
      <c r="E18" s="7">
        <v>92</v>
      </c>
      <c r="H18" s="7">
        <v>319</v>
      </c>
    </row>
    <row r="19" spans="1:8" x14ac:dyDescent="0.35">
      <c r="A19" s="6">
        <v>45425.368425925924</v>
      </c>
      <c r="B19" s="7" t="s">
        <v>7</v>
      </c>
      <c r="C19" s="7" t="s">
        <v>8</v>
      </c>
      <c r="D19" s="7">
        <v>497</v>
      </c>
      <c r="E19" s="7">
        <v>71</v>
      </c>
      <c r="H19" s="7">
        <v>281</v>
      </c>
    </row>
    <row r="20" spans="1:8" x14ac:dyDescent="0.35">
      <c r="A20" s="6">
        <v>45434.894733796296</v>
      </c>
      <c r="B20" s="7" t="s">
        <v>7</v>
      </c>
      <c r="C20" s="7" t="s">
        <v>6</v>
      </c>
      <c r="D20" s="7">
        <v>409</v>
      </c>
      <c r="E20" s="7">
        <v>81</v>
      </c>
      <c r="H20" s="7">
        <v>247</v>
      </c>
    </row>
    <row r="21" spans="1:8" x14ac:dyDescent="0.35">
      <c r="A21" s="6">
        <v>45444.421053240738</v>
      </c>
      <c r="B21" s="7" t="s">
        <v>5</v>
      </c>
      <c r="C21" s="7" t="s">
        <v>8</v>
      </c>
      <c r="D21" s="7">
        <v>53</v>
      </c>
      <c r="E21" s="7">
        <v>45</v>
      </c>
      <c r="H21" s="7">
        <v>230</v>
      </c>
    </row>
    <row r="22" spans="1:8" x14ac:dyDescent="0.35">
      <c r="A22" s="6">
        <v>45453.947372685187</v>
      </c>
      <c r="B22" s="7" t="s">
        <v>5</v>
      </c>
      <c r="C22" s="7" t="s">
        <v>9</v>
      </c>
      <c r="D22" s="7">
        <v>398</v>
      </c>
      <c r="E22" s="7">
        <v>33</v>
      </c>
      <c r="H22" s="7">
        <v>205</v>
      </c>
    </row>
    <row r="23" spans="1:8" x14ac:dyDescent="0.35">
      <c r="A23" s="6">
        <v>45463.473680555559</v>
      </c>
      <c r="B23" s="7" t="s">
        <v>11</v>
      </c>
      <c r="C23" s="7" t="s">
        <v>8</v>
      </c>
      <c r="D23" s="7">
        <v>347</v>
      </c>
      <c r="E23" s="7">
        <v>35</v>
      </c>
      <c r="H23" s="7">
        <v>76</v>
      </c>
    </row>
    <row r="24" spans="1:8" x14ac:dyDescent="0.35">
      <c r="A24" s="6">
        <v>45473</v>
      </c>
      <c r="B24" s="7" t="s">
        <v>7</v>
      </c>
      <c r="C24" s="7" t="s">
        <v>9</v>
      </c>
      <c r="D24" s="7">
        <v>319</v>
      </c>
      <c r="E24" s="7">
        <v>45</v>
      </c>
      <c r="H24" s="7">
        <v>53</v>
      </c>
    </row>
  </sheetData>
  <sortState xmlns:xlrd2="http://schemas.microsoft.com/office/spreadsheetml/2017/richdata2" ref="H5:H24">
    <sortCondition descending="1" ref="H5:H24"/>
  </sortState>
  <mergeCells count="1">
    <mergeCell ref="A1:J2"/>
  </mergeCells>
  <conditionalFormatting sqref="H4:H24">
    <cfRule type="dataBar" priority="2">
      <dataBar>
        <cfvo type="num" val="400"/>
        <cfvo type="num" val="0"/>
        <color rgb="FF638EC6"/>
      </dataBar>
      <extLst>
        <ext xmlns:x14="http://schemas.microsoft.com/office/spreadsheetml/2009/9/main" uri="{B025F937-C7B1-47D3-B67F-A62EFF666E3E}">
          <x14:id>{232AE1EA-E0FC-4D3A-A9F4-E55621B411C2}</x14:id>
        </ext>
      </extLst>
    </cfRule>
    <cfRule type="dataBar" priority="3">
      <dataBar>
        <cfvo type="min"/>
        <cfvo type="max"/>
        <color rgb="FF638EC6"/>
      </dataBar>
      <extLst>
        <ext xmlns:x14="http://schemas.microsoft.com/office/spreadsheetml/2009/9/main" uri="{B025F937-C7B1-47D3-B67F-A62EFF666E3E}">
          <x14:id>{A218BBB3-9225-4E9A-9BFE-A1B24A66C140}</x14:id>
        </ext>
      </extLst>
    </cfRule>
  </conditionalFormatting>
  <conditionalFormatting sqref="H5:H24">
    <cfRule type="colorScale" priority="1">
      <colorScale>
        <cfvo type="min"/>
        <cfvo type="max"/>
        <color rgb="FFF8696B"/>
        <color rgb="FFFCFCFF"/>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32AE1EA-E0FC-4D3A-A9F4-E55621B411C2}">
            <x14:dataBar minLength="0" maxLength="100" gradient="0">
              <x14:cfvo type="num">
                <xm:f>400</xm:f>
              </x14:cfvo>
              <x14:cfvo type="num">
                <xm:f>0</xm:f>
              </x14:cfvo>
              <x14:negativeFillColor rgb="FFFF0000"/>
              <x14:axisColor rgb="FF000000"/>
            </x14:dataBar>
          </x14:cfRule>
          <x14:cfRule type="dataBar" id="{A218BBB3-9225-4E9A-9BFE-A1B24A66C140}">
            <x14:dataBar minLength="0" maxLength="100" border="1" negativeBarBorderColorSameAsPositive="0">
              <x14:cfvo type="autoMin"/>
              <x14:cfvo type="autoMax"/>
              <x14:borderColor rgb="FF638EC6"/>
              <x14:negativeFillColor rgb="FFFF0000"/>
              <x14:negativeBorderColor rgb="FFFF0000"/>
              <x14:axisColor rgb="FF000000"/>
            </x14:dataBar>
          </x14:cfRule>
          <xm:sqref>H4:H24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1D65D-5E79-431B-A8D3-3ABF746427B3}">
  <dimension ref="A2:M10"/>
  <sheetViews>
    <sheetView topLeftCell="A2" workbookViewId="0">
      <selection activeCell="B6" sqref="B6"/>
    </sheetView>
  </sheetViews>
  <sheetFormatPr defaultRowHeight="14.5" x14ac:dyDescent="0.35"/>
  <cols>
    <col min="1" max="1" width="12.36328125" bestFit="1" customWidth="1"/>
    <col min="2" max="2" width="11.26953125" bestFit="1" customWidth="1"/>
    <col min="3" max="3" width="14.54296875" bestFit="1" customWidth="1"/>
  </cols>
  <sheetData>
    <row r="2" spans="1:13" x14ac:dyDescent="0.35">
      <c r="D2" s="29" t="s">
        <v>25</v>
      </c>
      <c r="E2" s="30"/>
      <c r="F2" s="30"/>
      <c r="G2" s="30"/>
      <c r="H2" s="30"/>
      <c r="I2" s="30"/>
      <c r="J2" s="30"/>
      <c r="K2" s="30"/>
      <c r="L2" s="30"/>
      <c r="M2" s="30"/>
    </row>
    <row r="3" spans="1:13" x14ac:dyDescent="0.35">
      <c r="A3" s="10" t="s">
        <v>13</v>
      </c>
      <c r="B3" t="s">
        <v>15</v>
      </c>
      <c r="D3" s="30"/>
      <c r="E3" s="30"/>
      <c r="F3" s="30"/>
      <c r="G3" s="30"/>
      <c r="H3" s="30"/>
      <c r="I3" s="30"/>
      <c r="J3" s="30"/>
      <c r="K3" s="30"/>
      <c r="L3" s="30"/>
      <c r="M3" s="30"/>
    </row>
    <row r="4" spans="1:13" x14ac:dyDescent="0.35">
      <c r="A4" s="11" t="s">
        <v>19</v>
      </c>
      <c r="B4">
        <v>1281</v>
      </c>
    </row>
    <row r="5" spans="1:13" x14ac:dyDescent="0.35">
      <c r="A5" s="11" t="s">
        <v>20</v>
      </c>
      <c r="B5">
        <v>1032</v>
      </c>
    </row>
    <row r="6" spans="1:13" x14ac:dyDescent="0.35">
      <c r="A6" s="11" t="s">
        <v>21</v>
      </c>
      <c r="B6">
        <v>958</v>
      </c>
    </row>
    <row r="7" spans="1:13" x14ac:dyDescent="0.35">
      <c r="A7" s="11" t="s">
        <v>17</v>
      </c>
      <c r="B7">
        <v>1155</v>
      </c>
    </row>
    <row r="8" spans="1:13" x14ac:dyDescent="0.35">
      <c r="A8" s="11" t="s">
        <v>22</v>
      </c>
      <c r="B8">
        <v>1286</v>
      </c>
    </row>
    <row r="9" spans="1:13" x14ac:dyDescent="0.35">
      <c r="A9" s="11" t="s">
        <v>18</v>
      </c>
      <c r="B9">
        <v>1117</v>
      </c>
    </row>
    <row r="10" spans="1:13" x14ac:dyDescent="0.35">
      <c r="A10" s="11" t="s">
        <v>14</v>
      </c>
      <c r="B10">
        <v>6829</v>
      </c>
    </row>
  </sheetData>
  <mergeCells count="1">
    <mergeCell ref="D2:M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B4F5-AFF5-4556-8EE4-6E0D62FD6854}">
  <dimension ref="A1:F24"/>
  <sheetViews>
    <sheetView workbookViewId="0">
      <selection activeCell="C12" sqref="C12"/>
    </sheetView>
  </sheetViews>
  <sheetFormatPr defaultRowHeight="14.5" x14ac:dyDescent="0.35"/>
  <cols>
    <col min="1" max="1" width="15.26953125" bestFit="1" customWidth="1"/>
    <col min="2" max="2" width="11.90625" bestFit="1" customWidth="1"/>
    <col min="3" max="3" width="11" bestFit="1" customWidth="1"/>
    <col min="4" max="4" width="12" bestFit="1" customWidth="1"/>
    <col min="5" max="5" width="9.54296875" bestFit="1" customWidth="1"/>
    <col min="6" max="6" width="12.7265625" bestFit="1" customWidth="1"/>
  </cols>
  <sheetData>
    <row r="1" spans="1:6" x14ac:dyDescent="0.35">
      <c r="A1" s="31" t="s">
        <v>26</v>
      </c>
      <c r="B1" s="31"/>
      <c r="C1" s="31"/>
      <c r="D1" s="31"/>
      <c r="E1" s="31"/>
      <c r="F1" s="31"/>
    </row>
    <row r="2" spans="1:6" x14ac:dyDescent="0.35">
      <c r="A2" s="31"/>
      <c r="B2" s="31"/>
      <c r="C2" s="31"/>
      <c r="D2" s="31"/>
      <c r="E2" s="31"/>
      <c r="F2" s="31"/>
    </row>
    <row r="4" spans="1:6" x14ac:dyDescent="0.35">
      <c r="A4" s="22" t="s">
        <v>0</v>
      </c>
      <c r="B4" s="23" t="s">
        <v>23</v>
      </c>
      <c r="C4" s="23" t="s">
        <v>1</v>
      </c>
      <c r="D4" s="23" t="s">
        <v>2</v>
      </c>
      <c r="E4" s="23" t="s">
        <v>3</v>
      </c>
      <c r="F4" s="24" t="s">
        <v>4</v>
      </c>
    </row>
    <row r="5" spans="1:6" x14ac:dyDescent="0.35">
      <c r="A5" s="18">
        <v>45292</v>
      </c>
      <c r="B5" s="14" t="str">
        <f>TEXT(A5,"mmmm")</f>
        <v>January</v>
      </c>
      <c r="C5" s="15" t="s">
        <v>5</v>
      </c>
      <c r="D5" s="15" t="s">
        <v>6</v>
      </c>
      <c r="E5" s="15">
        <v>456</v>
      </c>
      <c r="F5" s="20">
        <v>93</v>
      </c>
    </row>
    <row r="6" spans="1:6" x14ac:dyDescent="0.35">
      <c r="A6" s="19">
        <v>45301.526319444441</v>
      </c>
      <c r="B6" s="6" t="str">
        <f t="shared" ref="B6:B24" si="0">TEXT(A6,"mmmm")</f>
        <v>January</v>
      </c>
      <c r="C6" s="7" t="s">
        <v>7</v>
      </c>
      <c r="D6" s="7" t="s">
        <v>8</v>
      </c>
      <c r="E6" s="7">
        <v>348</v>
      </c>
      <c r="F6" s="21">
        <v>56</v>
      </c>
    </row>
    <row r="7" spans="1:6" x14ac:dyDescent="0.35">
      <c r="A7" s="19">
        <v>45311.052627314813</v>
      </c>
      <c r="B7" s="6" t="str">
        <f t="shared" si="0"/>
        <v>January</v>
      </c>
      <c r="C7" s="7" t="s">
        <v>7</v>
      </c>
      <c r="D7" s="7" t="s">
        <v>6</v>
      </c>
      <c r="E7" s="7">
        <v>247</v>
      </c>
      <c r="F7" s="21">
        <v>76</v>
      </c>
    </row>
    <row r="8" spans="1:6" x14ac:dyDescent="0.35">
      <c r="A8" s="19">
        <v>45320.578946759262</v>
      </c>
      <c r="B8" s="6" t="str">
        <f t="shared" si="0"/>
        <v>January</v>
      </c>
      <c r="C8" s="7" t="s">
        <v>5</v>
      </c>
      <c r="D8" s="7" t="s">
        <v>9</v>
      </c>
      <c r="E8" s="7">
        <v>230</v>
      </c>
      <c r="F8" s="21">
        <v>37</v>
      </c>
    </row>
    <row r="9" spans="1:6" x14ac:dyDescent="0.35">
      <c r="A9" s="19">
        <v>45330.105266203704</v>
      </c>
      <c r="B9" s="6" t="str">
        <f t="shared" si="0"/>
        <v>February</v>
      </c>
      <c r="C9" s="7" t="s">
        <v>5</v>
      </c>
      <c r="D9" s="7" t="s">
        <v>6</v>
      </c>
      <c r="E9" s="7">
        <v>281</v>
      </c>
      <c r="F9" s="21">
        <v>50</v>
      </c>
    </row>
    <row r="10" spans="1:6" x14ac:dyDescent="0.35">
      <c r="A10" s="19">
        <v>45339.631574074076</v>
      </c>
      <c r="B10" s="6" t="str">
        <f t="shared" si="0"/>
        <v>February</v>
      </c>
      <c r="C10" s="7" t="s">
        <v>5</v>
      </c>
      <c r="D10" s="7" t="s">
        <v>8</v>
      </c>
      <c r="E10" s="7">
        <v>334</v>
      </c>
      <c r="F10" s="21">
        <v>52</v>
      </c>
    </row>
    <row r="11" spans="1:6" x14ac:dyDescent="0.35">
      <c r="A11" s="19">
        <v>45349.157893518517</v>
      </c>
      <c r="B11" s="6" t="str">
        <f t="shared" si="0"/>
        <v>February</v>
      </c>
      <c r="C11" s="7" t="s">
        <v>7</v>
      </c>
      <c r="D11" s="7" t="s">
        <v>9</v>
      </c>
      <c r="E11" s="7">
        <v>417</v>
      </c>
      <c r="F11" s="21">
        <v>29</v>
      </c>
    </row>
    <row r="12" spans="1:6" x14ac:dyDescent="0.35">
      <c r="A12" s="19">
        <v>45358.684212962966</v>
      </c>
      <c r="B12" s="6" t="str">
        <f t="shared" si="0"/>
        <v>March</v>
      </c>
      <c r="C12" s="7" t="s">
        <v>5</v>
      </c>
      <c r="D12" s="7" t="s">
        <v>9</v>
      </c>
      <c r="E12" s="7">
        <v>441</v>
      </c>
      <c r="F12" s="21">
        <v>44</v>
      </c>
    </row>
    <row r="13" spans="1:6" x14ac:dyDescent="0.35">
      <c r="A13" s="19">
        <v>45368.210520833331</v>
      </c>
      <c r="B13" s="6" t="str">
        <f t="shared" si="0"/>
        <v>March</v>
      </c>
      <c r="C13" s="7" t="s">
        <v>7</v>
      </c>
      <c r="D13" s="7" t="s">
        <v>6</v>
      </c>
      <c r="E13" s="7">
        <v>76</v>
      </c>
      <c r="F13" s="21">
        <v>63</v>
      </c>
    </row>
    <row r="14" spans="1:6" x14ac:dyDescent="0.35">
      <c r="A14" s="19">
        <v>45377.736840277779</v>
      </c>
      <c r="B14" s="6" t="str">
        <f t="shared" si="0"/>
        <v>March</v>
      </c>
      <c r="C14" s="7" t="s">
        <v>5</v>
      </c>
      <c r="D14" s="7" t="s">
        <v>8</v>
      </c>
      <c r="E14" s="7">
        <v>441</v>
      </c>
      <c r="F14" s="21">
        <v>79</v>
      </c>
    </row>
    <row r="15" spans="1:6" x14ac:dyDescent="0.35">
      <c r="A15" s="19">
        <v>45387.263159722221</v>
      </c>
      <c r="B15" s="6" t="str">
        <f t="shared" si="0"/>
        <v>April</v>
      </c>
      <c r="C15" s="7" t="s">
        <v>7</v>
      </c>
      <c r="D15" s="7" t="s">
        <v>6</v>
      </c>
      <c r="E15" s="7">
        <v>205</v>
      </c>
      <c r="F15" s="21">
        <v>23</v>
      </c>
    </row>
    <row r="16" spans="1:6" x14ac:dyDescent="0.35">
      <c r="A16" s="19">
        <v>45396.789479166669</v>
      </c>
      <c r="B16" s="6" t="str">
        <f t="shared" si="0"/>
        <v>April</v>
      </c>
      <c r="C16" s="7" t="s">
        <v>5</v>
      </c>
      <c r="D16" s="7" t="s">
        <v>8</v>
      </c>
      <c r="E16" s="7">
        <v>483</v>
      </c>
      <c r="F16" s="21">
        <v>97</v>
      </c>
    </row>
    <row r="17" spans="1:6" x14ac:dyDescent="0.35">
      <c r="A17" s="19">
        <v>45406.315787037034</v>
      </c>
      <c r="B17" s="6" t="str">
        <f t="shared" si="0"/>
        <v>April</v>
      </c>
      <c r="C17" s="7" t="s">
        <v>10</v>
      </c>
      <c r="D17" s="7" t="s">
        <v>6</v>
      </c>
      <c r="E17" s="7">
        <v>467</v>
      </c>
      <c r="F17" s="21">
        <v>97</v>
      </c>
    </row>
    <row r="18" spans="1:6" x14ac:dyDescent="0.35">
      <c r="A18" s="19">
        <v>45415.842106481483</v>
      </c>
      <c r="B18" s="6" t="str">
        <f t="shared" si="0"/>
        <v>May</v>
      </c>
      <c r="C18" s="7" t="s">
        <v>5</v>
      </c>
      <c r="D18" s="7" t="s">
        <v>6</v>
      </c>
      <c r="E18" s="7">
        <v>380</v>
      </c>
      <c r="F18" s="21">
        <v>92</v>
      </c>
    </row>
    <row r="19" spans="1:6" x14ac:dyDescent="0.35">
      <c r="A19" s="19">
        <v>45425.368425925924</v>
      </c>
      <c r="B19" s="6" t="str">
        <f t="shared" si="0"/>
        <v>May</v>
      </c>
      <c r="C19" s="7" t="s">
        <v>7</v>
      </c>
      <c r="D19" s="7" t="s">
        <v>8</v>
      </c>
      <c r="E19" s="7">
        <v>497</v>
      </c>
      <c r="F19" s="21">
        <v>71</v>
      </c>
    </row>
    <row r="20" spans="1:6" x14ac:dyDescent="0.35">
      <c r="A20" s="19">
        <v>45434.894733796296</v>
      </c>
      <c r="B20" s="6" t="str">
        <f t="shared" si="0"/>
        <v>May</v>
      </c>
      <c r="C20" s="7" t="s">
        <v>7</v>
      </c>
      <c r="D20" s="7" t="s">
        <v>6</v>
      </c>
      <c r="E20" s="7">
        <v>409</v>
      </c>
      <c r="F20" s="21">
        <v>81</v>
      </c>
    </row>
    <row r="21" spans="1:6" x14ac:dyDescent="0.35">
      <c r="A21" s="19">
        <v>45444.421053240738</v>
      </c>
      <c r="B21" s="6" t="str">
        <f t="shared" si="0"/>
        <v>June</v>
      </c>
      <c r="C21" s="7" t="s">
        <v>5</v>
      </c>
      <c r="D21" s="7" t="s">
        <v>8</v>
      </c>
      <c r="E21" s="7">
        <v>53</v>
      </c>
      <c r="F21" s="21">
        <v>45</v>
      </c>
    </row>
    <row r="22" spans="1:6" x14ac:dyDescent="0.35">
      <c r="A22" s="19">
        <v>45453.947372685187</v>
      </c>
      <c r="B22" s="6" t="str">
        <f t="shared" si="0"/>
        <v>June</v>
      </c>
      <c r="C22" s="7" t="s">
        <v>5</v>
      </c>
      <c r="D22" s="7" t="s">
        <v>9</v>
      </c>
      <c r="E22" s="7">
        <v>398</v>
      </c>
      <c r="F22" s="21">
        <v>33</v>
      </c>
    </row>
    <row r="23" spans="1:6" x14ac:dyDescent="0.35">
      <c r="A23" s="19">
        <v>45463.473680555559</v>
      </c>
      <c r="B23" s="6" t="str">
        <f t="shared" si="0"/>
        <v>June</v>
      </c>
      <c r="C23" s="7" t="s">
        <v>11</v>
      </c>
      <c r="D23" s="7" t="s">
        <v>8</v>
      </c>
      <c r="E23" s="7">
        <v>347</v>
      </c>
      <c r="F23" s="21">
        <v>35</v>
      </c>
    </row>
    <row r="24" spans="1:6" x14ac:dyDescent="0.35">
      <c r="A24" s="25">
        <v>45473</v>
      </c>
      <c r="B24" s="12" t="str">
        <f t="shared" si="0"/>
        <v>June</v>
      </c>
      <c r="C24" s="13" t="s">
        <v>7</v>
      </c>
      <c r="D24" s="13" t="s">
        <v>9</v>
      </c>
      <c r="E24" s="13">
        <v>319</v>
      </c>
      <c r="F24" s="26">
        <v>45</v>
      </c>
    </row>
  </sheetData>
  <mergeCells count="1">
    <mergeCell ref="A1:F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93313-6FE9-4590-82EB-E0782C32BD99}">
  <dimension ref="A1"/>
  <sheetViews>
    <sheetView tabSelected="1" topLeftCell="A14" workbookViewId="0">
      <selection activeCell="L24" sqref="L24"/>
    </sheetView>
  </sheetViews>
  <sheetFormatPr defaultRowHeight="14.5" x14ac:dyDescent="0.35"/>
  <cols>
    <col min="1" max="16384" width="8.7265625" style="32"/>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Material</vt:lpstr>
      <vt:lpstr>Clean Data</vt:lpstr>
      <vt:lpstr>Pivot Table</vt:lpstr>
      <vt:lpstr>Conditional Formatting</vt:lpstr>
      <vt:lpstr>Pivot Chart</vt:lpstr>
      <vt:lpstr>Slicer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919871846171</dc:creator>
  <cp:lastModifiedBy>919871846171</cp:lastModifiedBy>
  <dcterms:created xsi:type="dcterms:W3CDTF">2025-11-10T14:07:01Z</dcterms:created>
  <dcterms:modified xsi:type="dcterms:W3CDTF">2025-11-12T13:24:37Z</dcterms:modified>
</cp:coreProperties>
</file>